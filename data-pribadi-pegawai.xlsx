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gaj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<sst xmlns="http://schemas.openxmlformats.org/spreadsheetml/2006/main" count="54" uniqueCount="36">
  <si>
    <t xml:space="preserve">Nama</t>
  </si>
  <si>
    <t xml:space="preserve">Jabatan</t>
  </si>
  <si>
    <t xml:space="preserve">handphone</t>
  </si>
  <si>
    <t xml:space="preserve">dana</t>
  </si>
  <si>
    <t xml:space="preserve">prefix</t>
  </si>
  <si>
    <t xml:space="preserve">virtual account</t>
  </si>
  <si>
    <t xml:space="preserve"> Norek BCA</t>
  </si>
  <si>
    <t xml:space="preserve">Gaji Pokok</t>
  </si>
  <si>
    <t xml:space="preserve">uang makan 1 hari</t>
  </si>
  <si>
    <t xml:space="preserve">komisi coating detailing</t>
  </si>
  <si>
    <t xml:space="preserve">komisi detailing only</t>
  </si>
  <si>
    <t xml:space="preserve">komisi maintenance</t>
  </si>
  <si>
    <t xml:space="preserve">Haura</t>
  </si>
  <si>
    <t xml:space="preserve">Administrator</t>
  </si>
  <si>
    <t xml:space="preserve">082389553213</t>
  </si>
  <si>
    <t xml:space="preserve">3400293995</t>
  </si>
  <si>
    <t xml:space="preserve">Agung Pratama</t>
  </si>
  <si>
    <t xml:space="preserve">Detailer</t>
  </si>
  <si>
    <t xml:space="preserve">089636926385</t>
  </si>
  <si>
    <t xml:space="preserve">Rafi</t>
  </si>
  <si>
    <t xml:space="preserve"> </t>
  </si>
  <si>
    <t xml:space="preserve">KDA</t>
  </si>
  <si>
    <t xml:space="preserve">Purimas</t>
  </si>
  <si>
    <t xml:space="preserve">Purimas Kosan</t>
  </si>
  <si>
    <t xml:space="preserve">Rekening listrik</t>
  </si>
  <si>
    <t xml:space="preserve">Rekening PDAM</t>
  </si>
  <si>
    <t xml:space="preserve">Indihome Akun</t>
  </si>
  <si>
    <t xml:space="preserve">Total Coating</t>
  </si>
  <si>
    <t xml:space="preserve">Total Maintenance</t>
  </si>
  <si>
    <t xml:space="preserve">komisi</t>
  </si>
  <si>
    <t xml:space="preserve">Uang Makan</t>
  </si>
  <si>
    <t xml:space="preserve">Subtotal Pendapatan</t>
  </si>
  <si>
    <t xml:space="preserve">Kasbon</t>
  </si>
  <si>
    <t xml:space="preserve">SubTotal</t>
  </si>
  <si>
    <t xml:space="preserve">THR</t>
  </si>
  <si>
    <t xml:space="preserve">Agung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</si>
</sst>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p]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1" activeCellId="0" sqref="J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7.13"/>
    <col collapsed="false" customWidth="true" hidden="false" outlineLevel="0" max="3" min="2" style="1" width="18.11"/>
    <col collapsed="false" customWidth="true" hidden="false" outlineLevel="0" max="4" min="4" style="1" width="20.27"/>
    <col collapsed="false" customWidth="true" hidden="false" outlineLevel="0" max="5" min="5" style="0" width="14.71"/>
    <col collapsed="false" customWidth="true" hidden="false" outlineLevel="0" max="6" min="6" style="1" width="18.88"/>
    <col collapsed="false" customWidth="true" hidden="false" outlineLevel="0" max="9" min="9" style="1" width="17.77"/>
    <col collapsed="false" customWidth="true" hidden="false" outlineLevel="0" max="10" min="10" style="1" width="19.88"/>
    <col collapsed="false" customWidth="true" hidden="false" outlineLevel="0" max="11" min="11" style="1" width="1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.75" hidden="false" customHeight="false" outlineLevel="0" collapsed="false">
      <c r="A2" s="2" t="s">
        <v>12</v>
      </c>
      <c r="B2" s="2" t="s">
        <v>13</v>
      </c>
      <c r="C2" s="2" t="n">
        <f aca="false">6282389553213</f>
        <v>6282389553213</v>
      </c>
      <c r="D2" s="2" t="s">
        <v>14</v>
      </c>
      <c r="E2" s="2" t="n">
        <v>3901</v>
      </c>
      <c r="F2" s="2" t="e">
        <f aca="false">concat(E2,D2)</f>
        <v>#NAME?</v>
      </c>
      <c r="G2" s="2" t="s">
        <v>15</v>
      </c>
      <c r="H2" s="2" t="n">
        <v>1500000</v>
      </c>
      <c r="I2" s="2" t="n">
        <v>50000</v>
      </c>
      <c r="J2" s="2" t="n">
        <v>25000</v>
      </c>
      <c r="K2" s="2" t="n">
        <v>12500</v>
      </c>
      <c r="L2" s="2" t="n">
        <v>12500</v>
      </c>
    </row>
    <row r="3" customFormat="false" ht="15.75" hidden="false" customHeight="false" outlineLevel="0" collapsed="false">
      <c r="A3" s="2" t="s">
        <v>16</v>
      </c>
      <c r="B3" s="2" t="s">
        <v>17</v>
      </c>
      <c r="C3" s="2" t="n">
        <v>6287761759510</v>
      </c>
      <c r="D3" s="2" t="s">
        <v>18</v>
      </c>
      <c r="E3" s="2" t="n">
        <v>3901</v>
      </c>
      <c r="F3" s="2" t="e">
        <f aca="false">concat(E3,D3)</f>
        <v>#NAME?</v>
      </c>
      <c r="G3" s="2" t="n">
        <v>7195215260</v>
      </c>
      <c r="H3" s="2" t="n">
        <v>2200000</v>
      </c>
      <c r="I3" s="2" t="n">
        <v>50000</v>
      </c>
      <c r="J3" s="2" t="n">
        <v>100000</v>
      </c>
      <c r="K3" s="2" t="n">
        <v>50000</v>
      </c>
      <c r="L3" s="2" t="n">
        <v>25000</v>
      </c>
    </row>
    <row r="4" customFormat="false" ht="15.75" hidden="false" customHeight="false" outlineLevel="0" collapsed="false">
      <c r="A4" s="2" t="s">
        <v>19</v>
      </c>
      <c r="B4" s="2" t="s">
        <v>17</v>
      </c>
      <c r="C4" s="2" t="s">
        <v>20</v>
      </c>
      <c r="D4" s="2" t="s">
        <v>20</v>
      </c>
      <c r="E4" s="2" t="s">
        <v>20</v>
      </c>
      <c r="F4" s="2" t="s">
        <v>20</v>
      </c>
      <c r="G4" s="2" t="n">
        <v>8280675891</v>
      </c>
      <c r="H4" s="2" t="n">
        <v>2000000</v>
      </c>
      <c r="I4" s="2" t="n">
        <v>50000</v>
      </c>
      <c r="J4" s="2" t="n">
        <v>100000</v>
      </c>
      <c r="K4" s="2" t="n">
        <v>50000</v>
      </c>
      <c r="L4" s="2" t="n">
        <v>25000</v>
      </c>
    </row>
    <row r="5" customFormat="false" ht="15.75" hidden="false" customHeight="false" outlineLevel="0" collapsed="false">
      <c r="A5" s="2" t="s">
        <v>20</v>
      </c>
      <c r="B5" s="2"/>
      <c r="G5" s="2" t="s">
        <v>20</v>
      </c>
      <c r="H5" s="2" t="n">
        <v>1500000</v>
      </c>
    </row>
    <row r="7" customFormat="false" ht="15.75" hidden="false" customHeight="false" outlineLevel="0" collapsed="false">
      <c r="C7" s="2" t="s">
        <v>21</v>
      </c>
      <c r="D7" s="2" t="s">
        <v>22</v>
      </c>
      <c r="E7" s="2" t="s">
        <v>23</v>
      </c>
    </row>
    <row r="8" customFormat="false" ht="15.75" hidden="false" customHeight="false" outlineLevel="0" collapsed="false">
      <c r="A8" s="2" t="s">
        <v>24</v>
      </c>
      <c r="B8" s="2"/>
      <c r="C8" s="2" t="s">
        <v>20</v>
      </c>
      <c r="D8" s="2" t="n">
        <v>154000004369</v>
      </c>
      <c r="E8" s="2" t="n">
        <v>154000656125</v>
      </c>
    </row>
    <row r="9" customFormat="false" ht="15.75" hidden="false" customHeight="false" outlineLevel="0" collapsed="false">
      <c r="A9" s="2" t="s">
        <v>25</v>
      </c>
      <c r="B9" s="2"/>
      <c r="C9" s="2" t="s">
        <v>20</v>
      </c>
      <c r="D9" s="2" t="n">
        <v>231581</v>
      </c>
    </row>
    <row r="10" customFormat="false" ht="15.75" hidden="false" customHeight="false" outlineLevel="0" collapsed="false">
      <c r="A10" s="2" t="s">
        <v>26</v>
      </c>
      <c r="B10" s="2"/>
      <c r="C10" s="2" t="n">
        <v>111604124810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2" t="s">
        <v>20</v>
      </c>
      <c r="B1" s="2" t="s">
        <v>27</v>
      </c>
      <c r="C1" s="2" t="n">
        <v>5</v>
      </c>
      <c r="D1" s="2"/>
      <c r="E1" s="2" t="s">
        <v>28</v>
      </c>
      <c r="F1" s="2" t="n">
        <v>3</v>
      </c>
      <c r="G1" s="2"/>
      <c r="H1" s="2"/>
    </row>
    <row r="2" customFormat="false" ht="15.75" hidden="false" customHeight="false" outlineLevel="0" collapsed="false">
      <c r="A2" s="2" t="s">
        <v>0</v>
      </c>
      <c r="B2" s="2" t="s">
        <v>7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</row>
    <row r="3" customFormat="false" ht="15.75" hidden="false" customHeight="false" outlineLevel="0" collapsed="false">
      <c r="A3" s="2" t="s">
        <v>12</v>
      </c>
      <c r="B3" s="3" t="n">
        <f aca="false">Data!H2</f>
        <v>1500000</v>
      </c>
      <c r="C3" s="3" t="n">
        <f aca="false">$C$1*Data!J2+$F$1*Data!$L2</f>
        <v>162500</v>
      </c>
      <c r="D3" s="3" t="n">
        <v>300000</v>
      </c>
      <c r="E3" s="3" t="n">
        <f aca="false">B3+C3+D3</f>
        <v>1962500</v>
      </c>
      <c r="F3" s="3" t="n">
        <v>0</v>
      </c>
      <c r="G3" s="3" t="n">
        <f aca="false">E3-F3</f>
        <v>1962500</v>
      </c>
      <c r="H3" s="3" t="n">
        <v>0</v>
      </c>
      <c r="I3" s="3" t="n">
        <f aca="false">G3+H3</f>
        <v>1962500</v>
      </c>
    </row>
    <row r="4" customFormat="false" ht="15.75" hidden="false" customHeight="false" outlineLevel="0" collapsed="false">
      <c r="A4" s="2" t="s">
        <v>35</v>
      </c>
      <c r="B4" s="3" t="n">
        <f aca="false">Data!H3</f>
        <v>2200000</v>
      </c>
      <c r="C4" s="3" t="n">
        <f aca="false">$C$1*Data!J3+$F$1*Data!$L3</f>
        <v>575000</v>
      </c>
      <c r="D4" s="3" t="n">
        <v>600000</v>
      </c>
      <c r="E4" s="3" t="n">
        <f aca="false">B4+C4+D4</f>
        <v>3375000</v>
      </c>
      <c r="F4" s="3" t="n">
        <v>2650000</v>
      </c>
      <c r="G4" s="3" t="n">
        <f aca="false">E4-F4</f>
        <v>725000</v>
      </c>
      <c r="H4" s="3" t="n">
        <v>0</v>
      </c>
      <c r="I4" s="3" t="n">
        <f aca="false">G4+H4</f>
        <v>725000</v>
      </c>
      <c r="J4" s="2" t="s">
        <v>20</v>
      </c>
    </row>
    <row r="5" customFormat="false" ht="15.75" hidden="false" customHeight="false" outlineLevel="0" collapsed="false">
      <c r="A5" s="2" t="s">
        <v>20</v>
      </c>
      <c r="B5" s="3" t="n">
        <v>935000</v>
      </c>
      <c r="C5" s="3" t="n">
        <f aca="false">$C$1*Data!J4+$F$1*Data!$L4</f>
        <v>575000</v>
      </c>
      <c r="D5" s="3" t="n">
        <v>0</v>
      </c>
      <c r="E5" s="3" t="n">
        <f aca="false">B5+C5+D5</f>
        <v>1510000</v>
      </c>
      <c r="F5" s="3" t="n">
        <v>0</v>
      </c>
      <c r="G5" s="3" t="n">
        <f aca="false">E5-F5</f>
        <v>1510000</v>
      </c>
      <c r="H5" s="3" t="n">
        <v>0</v>
      </c>
      <c r="I5" s="2" t="n">
        <v>0</v>
      </c>
    </row>
    <row r="6" customFormat="false" ht="15.75" hidden="false" customHeight="false" outlineLevel="0" collapsed="false">
      <c r="B6" s="2" t="s">
        <v>20</v>
      </c>
      <c r="C6" s="2" t="s">
        <v>20</v>
      </c>
      <c r="D6" s="2"/>
      <c r="E6" s="2" t="s">
        <v>20</v>
      </c>
      <c r="F6" s="2" t="s">
        <v>20</v>
      </c>
      <c r="G6" s="2"/>
      <c r="I6" s="3" t="n">
        <f aca="false">SUM(I3:I5)</f>
        <v>2687500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2026-05-29T13:18:28Z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